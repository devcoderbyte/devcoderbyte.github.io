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" sheetId="1" state="visible" r:id="rId1"/>
    <sheet xmlns:r="http://schemas.openxmlformats.org/officeDocument/2006/relationships" name="Case 2" sheetId="2" state="visible" r:id="rId2"/>
    <sheet xmlns:r="http://schemas.openxmlformats.org/officeDocument/2006/relationships" name="Cas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1: no AI</t>
        </is>
      </c>
    </row>
    <row r="2">
      <c r="A2" t="inlineStr">
        <is>
          <t>Every number below row 4 is a formula. Inputs are in yellow.</t>
        </is>
      </c>
    </row>
    <row r="4">
      <c r="A4" t="inlineStr">
        <is>
          <t>type</t>
        </is>
      </c>
      <c r="B4" t="inlineStr">
        <is>
          <t>volume</t>
        </is>
      </c>
      <c r="C4" t="inlineStr">
        <is>
          <t>handle h</t>
        </is>
      </c>
      <c r="D4" t="inlineStr">
        <is>
          <t>reopen</t>
        </is>
      </c>
      <c r="E4" t="inlineStr">
        <is>
          <t>rework</t>
        </is>
      </c>
      <c r="F4" t="inlineStr">
        <is>
          <t>junior share</t>
        </is>
      </c>
      <c r="G4" t="inlineStr">
        <is>
          <t>breach rate</t>
        </is>
      </c>
      <c r="H4" t="inlineStr">
        <is>
          <t>automation</t>
        </is>
      </c>
      <c r="I4" t="inlineStr">
        <is>
          <t>error rate</t>
        </is>
      </c>
      <c r="J4" t="inlineStr">
        <is>
          <t>review min</t>
        </is>
      </c>
      <c r="K4" t="inlineStr">
        <is>
          <t>token $/run</t>
        </is>
      </c>
      <c r="L4" t="inlineStr">
        <is>
          <t>agent tickets</t>
        </is>
      </c>
      <c r="M4" t="inlineStr">
        <is>
          <t>errors</t>
        </is>
      </c>
      <c r="N4" t="inlineStr">
        <is>
          <t>caught</t>
        </is>
      </c>
      <c r="O4" t="inlineStr">
        <is>
          <t>escaped</t>
        </is>
      </c>
      <c r="P4" t="inlineStr">
        <is>
          <t>rework factor</t>
        </is>
      </c>
      <c r="Q4" t="inlineStr">
        <is>
          <t>work h</t>
        </is>
      </c>
      <c r="R4" t="inlineStr">
        <is>
          <t>review h</t>
        </is>
      </c>
      <c r="S4" t="inlineStr">
        <is>
          <t>junior h</t>
        </is>
      </c>
      <c r="T4" t="inlineStr">
        <is>
          <t>senior h</t>
        </is>
      </c>
      <c r="U4" t="inlineStr">
        <is>
          <t>breaches</t>
        </is>
      </c>
      <c r="V4" t="inlineStr">
        <is>
          <t>token $</t>
        </is>
      </c>
    </row>
    <row r="5">
      <c r="A5" t="inlineStr">
        <is>
          <t>ticket_a</t>
        </is>
      </c>
      <c r="B5" t="n">
        <v>400</v>
      </c>
      <c r="C5" t="n">
        <v>0.5</v>
      </c>
      <c r="D5" t="n">
        <v>0.05</v>
      </c>
      <c r="E5" t="n">
        <v>0.4</v>
      </c>
      <c r="F5" t="n">
        <v>0.9</v>
      </c>
      <c r="G5" t="n">
        <v>0.03</v>
      </c>
      <c r="H5" t="n">
        <v>0</v>
      </c>
      <c r="I5" t="n">
        <v>0</v>
      </c>
      <c r="J5" t="n">
        <v>0</v>
      </c>
      <c r="K5" t="n">
        <v>0</v>
      </c>
      <c r="L5">
        <f>B5*H5</f>
        <v/>
      </c>
      <c r="M5">
        <f>L5*I5</f>
        <v/>
      </c>
      <c r="N5">
        <f>M5*$B$12</f>
        <v/>
      </c>
      <c r="O5">
        <f>M5-N5</f>
        <v/>
      </c>
      <c r="P5">
        <f>1+D5*E5</f>
        <v/>
      </c>
      <c r="Q5">
        <f>B5*(1-H5)*C5*P5+N5*C5</f>
        <v/>
      </c>
      <c r="R5">
        <f>L5*J5/60</f>
        <v/>
      </c>
      <c r="S5">
        <f>Q5*F5+R5*(1-$B$13)</f>
        <v/>
      </c>
      <c r="T5">
        <f>Q5*(1-F5)+R5*$B$13</f>
        <v/>
      </c>
      <c r="U5">
        <f>(B5-L5+N5)*G5+O5*$B$14</f>
        <v/>
      </c>
      <c r="V5">
        <f>L5*K5</f>
        <v/>
      </c>
    </row>
    <row r="6">
      <c r="A6" t="inlineStr">
        <is>
          <t>ticket_b</t>
        </is>
      </c>
      <c r="B6" t="n">
        <v>120</v>
      </c>
      <c r="C6" t="n">
        <v>3</v>
      </c>
      <c r="D6" t="n">
        <v>0.1</v>
      </c>
      <c r="E6" t="n">
        <v>0.5</v>
      </c>
      <c r="F6" t="n">
        <v>0.3</v>
      </c>
      <c r="G6" t="n">
        <v>0.05</v>
      </c>
      <c r="H6" t="n">
        <v>0</v>
      </c>
      <c r="I6" t="n">
        <v>0</v>
      </c>
      <c r="J6" t="n">
        <v>0</v>
      </c>
      <c r="K6" t="n">
        <v>0</v>
      </c>
      <c r="L6">
        <f>B6*H6</f>
        <v/>
      </c>
      <c r="M6">
        <f>L6*I6</f>
        <v/>
      </c>
      <c r="N6">
        <f>M6*$B$12</f>
        <v/>
      </c>
      <c r="O6">
        <f>M6-N6</f>
        <v/>
      </c>
      <c r="P6">
        <f>1+D6*E6</f>
        <v/>
      </c>
      <c r="Q6">
        <f>B6*(1-H6)*C6*P6+N6*C6</f>
        <v/>
      </c>
      <c r="R6">
        <f>L6*J6/60</f>
        <v/>
      </c>
      <c r="S6">
        <f>Q6*F6+R6*(1-$B$13)</f>
        <v/>
      </c>
      <c r="T6">
        <f>Q6*(1-F6)+R6*$B$13</f>
        <v/>
      </c>
      <c r="U6">
        <f>(B6-L6+N6)*G6+O6*$B$14</f>
        <v/>
      </c>
      <c r="V6">
        <f>L6*K6</f>
        <v/>
      </c>
    </row>
    <row r="8">
      <c r="A8" t="inlineStr">
        <is>
          <t>totals</t>
        </is>
      </c>
      <c r="B8">
        <f>SUM(B5:B6)</f>
        <v/>
      </c>
      <c r="L8">
        <f>SUM(L5:L6)</f>
        <v/>
      </c>
      <c r="M8">
        <f>SUM(M5:M6)</f>
        <v/>
      </c>
      <c r="N8">
        <f>SUM(N5:N6)</f>
        <v/>
      </c>
      <c r="O8">
        <f>SUM(O5:O6)</f>
        <v/>
      </c>
      <c r="S8">
        <f>SUM(S5:S6)</f>
        <v/>
      </c>
      <c r="T8">
        <f>SUM(T5:T6)</f>
        <v/>
      </c>
      <c r="U8">
        <f>SUM(U5:U6)</f>
        <v/>
      </c>
      <c r="V8">
        <f>SUM(V5:V6)</f>
        <v/>
      </c>
    </row>
    <row r="11">
      <c r="D11" t="inlineStr">
        <is>
          <t>level</t>
        </is>
      </c>
      <c r="E11" t="inlineStr">
        <is>
          <t>paid h</t>
        </is>
      </c>
      <c r="F11" t="inlineStr">
        <is>
          <t>other share</t>
        </is>
      </c>
      <c r="G11" t="inlineStr">
        <is>
          <t>sd</t>
        </is>
      </c>
      <c r="H11" t="inlineStr">
        <is>
          <t>cost</t>
        </is>
      </c>
      <c r="I11" t="inlineStr">
        <is>
          <t>hours</t>
        </is>
      </c>
      <c r="J11" t="inlineStr">
        <is>
          <t>ticket h per FTE</t>
        </is>
      </c>
      <c r="K11" t="inlineStr">
        <is>
          <t>FTE needed</t>
        </is>
      </c>
      <c r="L11" t="inlineStr">
        <is>
          <t>FTE staffed</t>
        </is>
      </c>
      <c r="M11" t="inlineStr">
        <is>
          <t>staff $</t>
        </is>
      </c>
      <c r="N11" t="inlineStr">
        <is>
          <t>overtime $</t>
        </is>
      </c>
    </row>
    <row r="12">
      <c r="A12" t="inlineStr">
        <is>
          <t>catch</t>
        </is>
      </c>
      <c r="B12" t="n">
        <v>0.9</v>
      </c>
      <c r="D12" t="inlineStr">
        <is>
          <t>junior</t>
        </is>
      </c>
      <c r="E12" t="n">
        <v>160</v>
      </c>
      <c r="F12" t="n">
        <v>0.3</v>
      </c>
      <c r="G12" t="n">
        <v>0.02</v>
      </c>
      <c r="H12" t="n">
        <v>3200</v>
      </c>
      <c r="I12">
        <f>S8</f>
        <v/>
      </c>
      <c r="J12">
        <f>E12*(1-F12)</f>
        <v/>
      </c>
      <c r="K12">
        <f>I12/J12</f>
        <v/>
      </c>
      <c r="L12">
        <f>MAX(0,CEILING(K12*2,1)/2)</f>
        <v/>
      </c>
      <c r="M12">
        <f>L12*H12</f>
        <v/>
      </c>
      <c r="N12">
        <f>(0.0111*MAX(0,I12+(F12+(-3)*G12)*E12*L12-E12*L12)+0.0757*MAX(0,I12+(F12+(-2)*G12)*E12*L12-E12*L12)+0.2438*MAX(0,I12+(F12+(-1)*G12)*E12*L12-E12*L12)+0.3388*MAX(0,I12+(F12+(0)*G12)*E12*L12-E12*L12)+0.2438*MAX(0,I12+(F12+(1)*G12)*E12*L12-E12*L12)+0.0757*MAX(0,I12+(F12+(2)*G12)*E12*L12-E12*L12)+0.0111*MAX(0,I12+(F12+(3)*G12)*E12*L12-E12*L12))*H12/E12*$B$20</f>
        <v/>
      </c>
    </row>
    <row r="13">
      <c r="A13" t="inlineStr">
        <is>
          <t>srs</t>
        </is>
      </c>
      <c r="B13" t="n">
        <v>0.6</v>
      </c>
      <c r="D13" t="inlineStr">
        <is>
          <t>senior</t>
        </is>
      </c>
      <c r="E13" t="n">
        <v>160</v>
      </c>
      <c r="F13" t="n">
        <v>0.3</v>
      </c>
      <c r="G13" t="n">
        <v>0.02</v>
      </c>
      <c r="H13" t="n">
        <v>5200</v>
      </c>
      <c r="I13">
        <f>T8</f>
        <v/>
      </c>
      <c r="J13">
        <f>E13*(1-F13)</f>
        <v/>
      </c>
      <c r="K13">
        <f>I13/J13</f>
        <v/>
      </c>
      <c r="L13">
        <f>MAX(IF($L$8&gt;0,1,0),CEILING(K13*2,1)/2)</f>
        <v/>
      </c>
      <c r="M13">
        <f>L13*H13</f>
        <v/>
      </c>
      <c r="N13">
        <f>(0.0111*MAX(0,I13+(F13+(-3)*G13)*E13*L13-E13*L13)+0.0757*MAX(0,I13+(F13+(-2)*G13)*E13*L13-E13*L13)+0.2438*MAX(0,I13+(F13+(-1)*G13)*E13*L13-E13*L13)+0.3388*MAX(0,I13+(F13+(0)*G13)*E13*L13-E13*L13)+0.2438*MAX(0,I13+(F13+(1)*G13)*E13*L13-E13*L13)+0.0757*MAX(0,I13+(F13+(2)*G13)*E13*L13-E13*L13)+0.0111*MAX(0,I13+(F13+(3)*G13)*E13*L13-E13*L13))*H13/E13*$B$20</f>
        <v/>
      </c>
    </row>
    <row r="14">
      <c r="A14" t="inlineStr">
        <is>
          <t>esc_breach</t>
        </is>
      </c>
      <c r="B14" t="n">
        <v>0.5</v>
      </c>
    </row>
    <row r="15">
      <c r="A15" t="inlineStr">
        <is>
          <t>esc_cost</t>
        </is>
      </c>
      <c r="B15" t="n">
        <v>500</v>
      </c>
    </row>
    <row r="16">
      <c r="A16" t="inlineStr">
        <is>
          <t>discount</t>
        </is>
      </c>
      <c r="B16" t="n">
        <v>0</v>
      </c>
    </row>
    <row r="17">
      <c r="A17" t="inlineStr">
        <is>
          <t>fee</t>
        </is>
      </c>
      <c r="B17" t="n">
        <v>40000</v>
      </c>
    </row>
    <row r="18">
      <c r="A18" t="inlineStr">
        <is>
          <t>overhead</t>
        </is>
      </c>
      <c r="B18" t="n">
        <v>1000</v>
      </c>
    </row>
    <row r="19">
      <c r="A19" t="inlineStr">
        <is>
          <t>other</t>
        </is>
      </c>
      <c r="B19" t="n">
        <v>0</v>
      </c>
    </row>
    <row r="20">
      <c r="A20" t="inlineStr">
        <is>
          <t>otm</t>
        </is>
      </c>
      <c r="B20" t="n">
        <v>1.5</v>
      </c>
    </row>
    <row r="21">
      <c r="A21" t="inlineStr">
        <is>
          <t>slasd</t>
        </is>
      </c>
      <c r="B21" t="n">
        <v>0.006</v>
      </c>
    </row>
    <row r="22">
      <c r="A22" t="inlineStr">
        <is>
          <t>guard</t>
        </is>
      </c>
      <c r="B22" t="n">
        <v>0.15</v>
      </c>
    </row>
    <row r="23">
      <c r="A23" t="inlineStr">
        <is>
          <t>platform</t>
        </is>
      </c>
      <c r="B23" t="n">
        <v>600</v>
      </c>
    </row>
    <row r="24">
      <c r="A24" t="inlineStr">
        <is>
          <t>evals</t>
        </is>
      </c>
      <c r="B24" t="n">
        <v>400</v>
      </c>
    </row>
    <row r="27">
      <c r="A27" t="inlineStr">
        <is>
          <t>fee</t>
        </is>
      </c>
      <c r="B27">
        <f>$B$17*IF($L$8&gt;0,1-$B$16,1)</f>
        <v/>
      </c>
    </row>
    <row r="28">
      <c r="A28" t="inlineStr">
        <is>
          <t>breach rate</t>
        </is>
      </c>
      <c r="B28">
        <f>U8/B8</f>
        <v/>
      </c>
    </row>
    <row r="29">
      <c r="A29" t="inlineStr">
        <is>
          <t>P(below 95%)</t>
        </is>
      </c>
      <c r="B29">
        <f>1-NORMDIST(((1-0.95)-B28)/$B$21,0,1,1)</f>
        <v/>
      </c>
    </row>
    <row r="30">
      <c r="A30" t="inlineStr">
        <is>
          <t>P(below 90%)</t>
        </is>
      </c>
      <c r="B30">
        <f>1-NORMDIST(((1-0.9)-B28)/$B$21,0,1,1)</f>
        <v/>
      </c>
    </row>
    <row r="31">
      <c r="A31" t="inlineStr">
        <is>
          <t>credits</t>
        </is>
      </c>
      <c r="B31">
        <f>B27*0.05*(B29-B30)+B27*0.1*B30</f>
        <v/>
      </c>
    </row>
    <row r="32">
      <c r="A32" t="inlineStr">
        <is>
          <t>revenue</t>
        </is>
      </c>
      <c r="B32">
        <f>B27-B31</f>
        <v/>
      </c>
    </row>
    <row r="33">
      <c r="A33" t="inlineStr">
        <is>
          <t>staff</t>
        </is>
      </c>
      <c r="B33">
        <f>M12+M13</f>
        <v/>
      </c>
    </row>
    <row r="34">
      <c r="A34" t="inlineStr">
        <is>
          <t>overtime</t>
        </is>
      </c>
      <c r="B34">
        <f>N12+N13</f>
        <v/>
      </c>
    </row>
    <row r="35">
      <c r="A35" t="inlineStr">
        <is>
          <t>AI cost</t>
        </is>
      </c>
      <c r="B35">
        <f>IF(L8&gt;0,V8*(1+$B$22)+$B$23+$B$24,0)</f>
        <v/>
      </c>
    </row>
    <row r="36">
      <c r="A36" t="inlineStr">
        <is>
          <t>escaped error cost</t>
        </is>
      </c>
      <c r="B36">
        <f>O8*$B$15</f>
        <v/>
      </c>
    </row>
    <row r="37">
      <c r="A37" t="inlineStr">
        <is>
          <t>total cost</t>
        </is>
      </c>
      <c r="B37">
        <f>B33+B34+$B$18+$B$19+B35+B36</f>
        <v/>
      </c>
    </row>
    <row r="38">
      <c r="A38" t="inlineStr">
        <is>
          <t>PROFIT</t>
        </is>
      </c>
      <c r="B38">
        <f>B32-B37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2: AI, moderate</t>
        </is>
      </c>
    </row>
    <row r="2">
      <c r="A2" t="inlineStr">
        <is>
          <t>Every number below row 4 is a formula. Inputs are in yellow.</t>
        </is>
      </c>
    </row>
    <row r="4">
      <c r="A4" t="inlineStr">
        <is>
          <t>type</t>
        </is>
      </c>
      <c r="B4" t="inlineStr">
        <is>
          <t>volume</t>
        </is>
      </c>
      <c r="C4" t="inlineStr">
        <is>
          <t>handle h</t>
        </is>
      </c>
      <c r="D4" t="inlineStr">
        <is>
          <t>reopen</t>
        </is>
      </c>
      <c r="E4" t="inlineStr">
        <is>
          <t>rework</t>
        </is>
      </c>
      <c r="F4" t="inlineStr">
        <is>
          <t>junior share</t>
        </is>
      </c>
      <c r="G4" t="inlineStr">
        <is>
          <t>breach rate</t>
        </is>
      </c>
      <c r="H4" t="inlineStr">
        <is>
          <t>automation</t>
        </is>
      </c>
      <c r="I4" t="inlineStr">
        <is>
          <t>error rate</t>
        </is>
      </c>
      <c r="J4" t="inlineStr">
        <is>
          <t>review min</t>
        </is>
      </c>
      <c r="K4" t="inlineStr">
        <is>
          <t>token $/run</t>
        </is>
      </c>
      <c r="L4" t="inlineStr">
        <is>
          <t>agent tickets</t>
        </is>
      </c>
      <c r="M4" t="inlineStr">
        <is>
          <t>errors</t>
        </is>
      </c>
      <c r="N4" t="inlineStr">
        <is>
          <t>caught</t>
        </is>
      </c>
      <c r="O4" t="inlineStr">
        <is>
          <t>escaped</t>
        </is>
      </c>
      <c r="P4" t="inlineStr">
        <is>
          <t>rework factor</t>
        </is>
      </c>
      <c r="Q4" t="inlineStr">
        <is>
          <t>work h</t>
        </is>
      </c>
      <c r="R4" t="inlineStr">
        <is>
          <t>review h</t>
        </is>
      </c>
      <c r="S4" t="inlineStr">
        <is>
          <t>junior h</t>
        </is>
      </c>
      <c r="T4" t="inlineStr">
        <is>
          <t>senior h</t>
        </is>
      </c>
      <c r="U4" t="inlineStr">
        <is>
          <t>breaches</t>
        </is>
      </c>
      <c r="V4" t="inlineStr">
        <is>
          <t>token $</t>
        </is>
      </c>
    </row>
    <row r="5">
      <c r="A5" t="inlineStr">
        <is>
          <t>ticket_a</t>
        </is>
      </c>
      <c r="B5" t="n">
        <v>400</v>
      </c>
      <c r="C5" t="n">
        <v>0.5</v>
      </c>
      <c r="D5" t="n">
        <v>0.05</v>
      </c>
      <c r="E5" t="n">
        <v>0.4</v>
      </c>
      <c r="F5" t="n">
        <v>0.9</v>
      </c>
      <c r="G5" t="n">
        <v>0.03</v>
      </c>
      <c r="H5" t="n">
        <v>0.7</v>
      </c>
      <c r="I5" t="n">
        <v>0.05</v>
      </c>
      <c r="J5" t="n">
        <v>3</v>
      </c>
      <c r="K5" t="n">
        <v>0.05</v>
      </c>
      <c r="L5">
        <f>B5*H5</f>
        <v/>
      </c>
      <c r="M5">
        <f>L5*I5</f>
        <v/>
      </c>
      <c r="N5">
        <f>M5*$B$12</f>
        <v/>
      </c>
      <c r="O5">
        <f>M5-N5</f>
        <v/>
      </c>
      <c r="P5">
        <f>1+D5*E5</f>
        <v/>
      </c>
      <c r="Q5">
        <f>B5*(1-H5)*C5*P5+N5*C5</f>
        <v/>
      </c>
      <c r="R5">
        <f>L5*J5/60</f>
        <v/>
      </c>
      <c r="S5">
        <f>Q5*F5+R5*(1-$B$13)</f>
        <v/>
      </c>
      <c r="T5">
        <f>Q5*(1-F5)+R5*$B$13</f>
        <v/>
      </c>
      <c r="U5">
        <f>(B5-L5+N5)*G5+O5*$B$14</f>
        <v/>
      </c>
      <c r="V5">
        <f>L5*K5</f>
        <v/>
      </c>
    </row>
    <row r="6">
      <c r="A6" t="inlineStr">
        <is>
          <t>ticket_b</t>
        </is>
      </c>
      <c r="B6" t="n">
        <v>120</v>
      </c>
      <c r="C6" t="n">
        <v>3</v>
      </c>
      <c r="D6" t="n">
        <v>0.1</v>
      </c>
      <c r="E6" t="n">
        <v>0.5</v>
      </c>
      <c r="F6" t="n">
        <v>0.3</v>
      </c>
      <c r="G6" t="n">
        <v>0.05</v>
      </c>
      <c r="H6" t="n">
        <v>0.2</v>
      </c>
      <c r="I6" t="n">
        <v>0.12</v>
      </c>
      <c r="J6" t="n">
        <v>15</v>
      </c>
      <c r="K6" t="n">
        <v>0.2</v>
      </c>
      <c r="L6">
        <f>B6*H6</f>
        <v/>
      </c>
      <c r="M6">
        <f>L6*I6</f>
        <v/>
      </c>
      <c r="N6">
        <f>M6*$B$12</f>
        <v/>
      </c>
      <c r="O6">
        <f>M6-N6</f>
        <v/>
      </c>
      <c r="P6">
        <f>1+D6*E6</f>
        <v/>
      </c>
      <c r="Q6">
        <f>B6*(1-H6)*C6*P6+N6*C6</f>
        <v/>
      </c>
      <c r="R6">
        <f>L6*J6/60</f>
        <v/>
      </c>
      <c r="S6">
        <f>Q6*F6+R6*(1-$B$13)</f>
        <v/>
      </c>
      <c r="T6">
        <f>Q6*(1-F6)+R6*$B$13</f>
        <v/>
      </c>
      <c r="U6">
        <f>(B6-L6+N6)*G6+O6*$B$14</f>
        <v/>
      </c>
      <c r="V6">
        <f>L6*K6</f>
        <v/>
      </c>
    </row>
    <row r="8">
      <c r="A8" t="inlineStr">
        <is>
          <t>totals</t>
        </is>
      </c>
      <c r="B8">
        <f>SUM(B5:B6)</f>
        <v/>
      </c>
      <c r="L8">
        <f>SUM(L5:L6)</f>
        <v/>
      </c>
      <c r="M8">
        <f>SUM(M5:M6)</f>
        <v/>
      </c>
      <c r="N8">
        <f>SUM(N5:N6)</f>
        <v/>
      </c>
      <c r="O8">
        <f>SUM(O5:O6)</f>
        <v/>
      </c>
      <c r="S8">
        <f>SUM(S5:S6)</f>
        <v/>
      </c>
      <c r="T8">
        <f>SUM(T5:T6)</f>
        <v/>
      </c>
      <c r="U8">
        <f>SUM(U5:U6)</f>
        <v/>
      </c>
      <c r="V8">
        <f>SUM(V5:V6)</f>
        <v/>
      </c>
    </row>
    <row r="11">
      <c r="D11" t="inlineStr">
        <is>
          <t>level</t>
        </is>
      </c>
      <c r="E11" t="inlineStr">
        <is>
          <t>paid h</t>
        </is>
      </c>
      <c r="F11" t="inlineStr">
        <is>
          <t>other share</t>
        </is>
      </c>
      <c r="G11" t="inlineStr">
        <is>
          <t>sd</t>
        </is>
      </c>
      <c r="H11" t="inlineStr">
        <is>
          <t>cost</t>
        </is>
      </c>
      <c r="I11" t="inlineStr">
        <is>
          <t>hours</t>
        </is>
      </c>
      <c r="J11" t="inlineStr">
        <is>
          <t>ticket h per FTE</t>
        </is>
      </c>
      <c r="K11" t="inlineStr">
        <is>
          <t>FTE needed</t>
        </is>
      </c>
      <c r="L11" t="inlineStr">
        <is>
          <t>FTE staffed</t>
        </is>
      </c>
      <c r="M11" t="inlineStr">
        <is>
          <t>staff $</t>
        </is>
      </c>
      <c r="N11" t="inlineStr">
        <is>
          <t>overtime $</t>
        </is>
      </c>
    </row>
    <row r="12">
      <c r="A12" t="inlineStr">
        <is>
          <t>catch</t>
        </is>
      </c>
      <c r="B12" t="n">
        <v>0.9</v>
      </c>
      <c r="D12" t="inlineStr">
        <is>
          <t>junior</t>
        </is>
      </c>
      <c r="E12" t="n">
        <v>160</v>
      </c>
      <c r="F12" t="n">
        <v>0.3</v>
      </c>
      <c r="G12" t="n">
        <v>0.02</v>
      </c>
      <c r="H12" t="n">
        <v>3200</v>
      </c>
      <c r="I12">
        <f>S8</f>
        <v/>
      </c>
      <c r="J12">
        <f>E12*(1-F12)</f>
        <v/>
      </c>
      <c r="K12">
        <f>I12/J12</f>
        <v/>
      </c>
      <c r="L12">
        <f>MAX(0,CEILING(K12*2,1)/2)</f>
        <v/>
      </c>
      <c r="M12">
        <f>L12*H12</f>
        <v/>
      </c>
      <c r="N12">
        <f>(0.0111*MAX(0,I12+(F12+(-3)*G12)*E12*L12-E12*L12)+0.0757*MAX(0,I12+(F12+(-2)*G12)*E12*L12-E12*L12)+0.2438*MAX(0,I12+(F12+(-1)*G12)*E12*L12-E12*L12)+0.3388*MAX(0,I12+(F12+(0)*G12)*E12*L12-E12*L12)+0.2438*MAX(0,I12+(F12+(1)*G12)*E12*L12-E12*L12)+0.0757*MAX(0,I12+(F12+(2)*G12)*E12*L12-E12*L12)+0.0111*MAX(0,I12+(F12+(3)*G12)*E12*L12-E12*L12))*H12/E12*$B$20</f>
        <v/>
      </c>
    </row>
    <row r="13">
      <c r="A13" t="inlineStr">
        <is>
          <t>srs</t>
        </is>
      </c>
      <c r="B13" t="n">
        <v>0.6</v>
      </c>
      <c r="D13" t="inlineStr">
        <is>
          <t>senior</t>
        </is>
      </c>
      <c r="E13" t="n">
        <v>160</v>
      </c>
      <c r="F13" t="n">
        <v>0.3</v>
      </c>
      <c r="G13" t="n">
        <v>0.02</v>
      </c>
      <c r="H13" t="n">
        <v>5200</v>
      </c>
      <c r="I13">
        <f>T8</f>
        <v/>
      </c>
      <c r="J13">
        <f>E13*(1-F13)</f>
        <v/>
      </c>
      <c r="K13">
        <f>I13/J13</f>
        <v/>
      </c>
      <c r="L13">
        <f>MAX(IF($L$8&gt;0,1,0),CEILING(K13*2,1)/2)</f>
        <v/>
      </c>
      <c r="M13">
        <f>L13*H13</f>
        <v/>
      </c>
      <c r="N13">
        <f>(0.0111*MAX(0,I13+(F13+(-3)*G13)*E13*L13-E13*L13)+0.0757*MAX(0,I13+(F13+(-2)*G13)*E13*L13-E13*L13)+0.2438*MAX(0,I13+(F13+(-1)*G13)*E13*L13-E13*L13)+0.3388*MAX(0,I13+(F13+(0)*G13)*E13*L13-E13*L13)+0.2438*MAX(0,I13+(F13+(1)*G13)*E13*L13-E13*L13)+0.0757*MAX(0,I13+(F13+(2)*G13)*E13*L13-E13*L13)+0.0111*MAX(0,I13+(F13+(3)*G13)*E13*L13-E13*L13))*H13/E13*$B$20</f>
        <v/>
      </c>
    </row>
    <row r="14">
      <c r="A14" t="inlineStr">
        <is>
          <t>esc_breach</t>
        </is>
      </c>
      <c r="B14" t="n">
        <v>0.5</v>
      </c>
    </row>
    <row r="15">
      <c r="A15" t="inlineStr">
        <is>
          <t>esc_cost</t>
        </is>
      </c>
      <c r="B15" t="n">
        <v>500</v>
      </c>
    </row>
    <row r="16">
      <c r="A16" t="inlineStr">
        <is>
          <t>discount</t>
        </is>
      </c>
      <c r="B16" t="n">
        <v>0.1</v>
      </c>
    </row>
    <row r="17">
      <c r="A17" t="inlineStr">
        <is>
          <t>fee</t>
        </is>
      </c>
      <c r="B17" t="n">
        <v>40000</v>
      </c>
    </row>
    <row r="18">
      <c r="A18" t="inlineStr">
        <is>
          <t>overhead</t>
        </is>
      </c>
      <c r="B18" t="n">
        <v>1000</v>
      </c>
    </row>
    <row r="19">
      <c r="A19" t="inlineStr">
        <is>
          <t>other</t>
        </is>
      </c>
      <c r="B19" t="n">
        <v>0</v>
      </c>
    </row>
    <row r="20">
      <c r="A20" t="inlineStr">
        <is>
          <t>otm</t>
        </is>
      </c>
      <c r="B20" t="n">
        <v>1.5</v>
      </c>
    </row>
    <row r="21">
      <c r="A21" t="inlineStr">
        <is>
          <t>slasd</t>
        </is>
      </c>
      <c r="B21" t="n">
        <v>0.006</v>
      </c>
    </row>
    <row r="22">
      <c r="A22" t="inlineStr">
        <is>
          <t>guard</t>
        </is>
      </c>
      <c r="B22" t="n">
        <v>0.15</v>
      </c>
    </row>
    <row r="23">
      <c r="A23" t="inlineStr">
        <is>
          <t>platform</t>
        </is>
      </c>
      <c r="B23" t="n">
        <v>600</v>
      </c>
    </row>
    <row r="24">
      <c r="A24" t="inlineStr">
        <is>
          <t>evals</t>
        </is>
      </c>
      <c r="B24" t="n">
        <v>400</v>
      </c>
    </row>
    <row r="27">
      <c r="A27" t="inlineStr">
        <is>
          <t>fee</t>
        </is>
      </c>
      <c r="B27">
        <f>$B$17*IF($L$8&gt;0,1-$B$16,1)</f>
        <v/>
      </c>
    </row>
    <row r="28">
      <c r="A28" t="inlineStr">
        <is>
          <t>breach rate</t>
        </is>
      </c>
      <c r="B28">
        <f>U8/B8</f>
        <v/>
      </c>
    </row>
    <row r="29">
      <c r="A29" t="inlineStr">
        <is>
          <t>P(below 95%)</t>
        </is>
      </c>
      <c r="B29">
        <f>1-NORMDIST(((1-0.95)-B28)/$B$21,0,1,1)</f>
        <v/>
      </c>
    </row>
    <row r="30">
      <c r="A30" t="inlineStr">
        <is>
          <t>P(below 90%)</t>
        </is>
      </c>
      <c r="B30">
        <f>1-NORMDIST(((1-0.9)-B28)/$B$21,0,1,1)</f>
        <v/>
      </c>
    </row>
    <row r="31">
      <c r="A31" t="inlineStr">
        <is>
          <t>credits</t>
        </is>
      </c>
      <c r="B31">
        <f>B27*0.05*(B29-B30)+B27*0.1*B30</f>
        <v/>
      </c>
    </row>
    <row r="32">
      <c r="A32" t="inlineStr">
        <is>
          <t>revenue</t>
        </is>
      </c>
      <c r="B32">
        <f>B27-B31</f>
        <v/>
      </c>
    </row>
    <row r="33">
      <c r="A33" t="inlineStr">
        <is>
          <t>staff</t>
        </is>
      </c>
      <c r="B33">
        <f>M12+M13</f>
        <v/>
      </c>
    </row>
    <row r="34">
      <c r="A34" t="inlineStr">
        <is>
          <t>overtime</t>
        </is>
      </c>
      <c r="B34">
        <f>N12+N13</f>
        <v/>
      </c>
    </row>
    <row r="35">
      <c r="A35" t="inlineStr">
        <is>
          <t>AI cost</t>
        </is>
      </c>
      <c r="B35">
        <f>IF(L8&gt;0,V8*(1+$B$22)+$B$23+$B$24,0)</f>
        <v/>
      </c>
    </row>
    <row r="36">
      <c r="A36" t="inlineStr">
        <is>
          <t>escaped error cost</t>
        </is>
      </c>
      <c r="B36">
        <f>O8*$B$15</f>
        <v/>
      </c>
    </row>
    <row r="37">
      <c r="A37" t="inlineStr">
        <is>
          <t>total cost</t>
        </is>
      </c>
      <c r="B37">
        <f>B33+B34+$B$18+$B$19+B35+B36</f>
        <v/>
      </c>
    </row>
    <row r="38">
      <c r="A38" t="inlineStr">
        <is>
          <t>PROFIT</t>
        </is>
      </c>
      <c r="B38">
        <f>B32-B37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3: AI, bad quality</t>
        </is>
      </c>
    </row>
    <row r="2">
      <c r="A2" t="inlineStr">
        <is>
          <t>Every number below row 4 is a formula. Inputs are in yellow.</t>
        </is>
      </c>
    </row>
    <row r="4">
      <c r="A4" t="inlineStr">
        <is>
          <t>type</t>
        </is>
      </c>
      <c r="B4" t="inlineStr">
        <is>
          <t>volume</t>
        </is>
      </c>
      <c r="C4" t="inlineStr">
        <is>
          <t>handle h</t>
        </is>
      </c>
      <c r="D4" t="inlineStr">
        <is>
          <t>reopen</t>
        </is>
      </c>
      <c r="E4" t="inlineStr">
        <is>
          <t>rework</t>
        </is>
      </c>
      <c r="F4" t="inlineStr">
        <is>
          <t>junior share</t>
        </is>
      </c>
      <c r="G4" t="inlineStr">
        <is>
          <t>breach rate</t>
        </is>
      </c>
      <c r="H4" t="inlineStr">
        <is>
          <t>automation</t>
        </is>
      </c>
      <c r="I4" t="inlineStr">
        <is>
          <t>error rate</t>
        </is>
      </c>
      <c r="J4" t="inlineStr">
        <is>
          <t>review min</t>
        </is>
      </c>
      <c r="K4" t="inlineStr">
        <is>
          <t>token $/run</t>
        </is>
      </c>
      <c r="L4" t="inlineStr">
        <is>
          <t>agent tickets</t>
        </is>
      </c>
      <c r="M4" t="inlineStr">
        <is>
          <t>errors</t>
        </is>
      </c>
      <c r="N4" t="inlineStr">
        <is>
          <t>caught</t>
        </is>
      </c>
      <c r="O4" t="inlineStr">
        <is>
          <t>escaped</t>
        </is>
      </c>
      <c r="P4" t="inlineStr">
        <is>
          <t>rework factor</t>
        </is>
      </c>
      <c r="Q4" t="inlineStr">
        <is>
          <t>work h</t>
        </is>
      </c>
      <c r="R4" t="inlineStr">
        <is>
          <t>review h</t>
        </is>
      </c>
      <c r="S4" t="inlineStr">
        <is>
          <t>junior h</t>
        </is>
      </c>
      <c r="T4" t="inlineStr">
        <is>
          <t>senior h</t>
        </is>
      </c>
      <c r="U4" t="inlineStr">
        <is>
          <t>breaches</t>
        </is>
      </c>
      <c r="V4" t="inlineStr">
        <is>
          <t>token $</t>
        </is>
      </c>
    </row>
    <row r="5">
      <c r="A5" t="inlineStr">
        <is>
          <t>ticket_a</t>
        </is>
      </c>
      <c r="B5" t="n">
        <v>400</v>
      </c>
      <c r="C5" t="n">
        <v>0.5</v>
      </c>
      <c r="D5" t="n">
        <v>0.05</v>
      </c>
      <c r="E5" t="n">
        <v>0.4</v>
      </c>
      <c r="F5" t="n">
        <v>0.9</v>
      </c>
      <c r="G5" t="n">
        <v>0.03</v>
      </c>
      <c r="H5" t="n">
        <v>0.8</v>
      </c>
      <c r="I5" t="n">
        <v>0.25</v>
      </c>
      <c r="J5" t="n">
        <v>1</v>
      </c>
      <c r="K5" t="n">
        <v>0.08</v>
      </c>
      <c r="L5">
        <f>B5*H5</f>
        <v/>
      </c>
      <c r="M5">
        <f>L5*I5</f>
        <v/>
      </c>
      <c r="N5">
        <f>M5*$B$12</f>
        <v/>
      </c>
      <c r="O5">
        <f>M5-N5</f>
        <v/>
      </c>
      <c r="P5">
        <f>1+D5*E5</f>
        <v/>
      </c>
      <c r="Q5">
        <f>B5*(1-H5)*C5*P5+N5*C5</f>
        <v/>
      </c>
      <c r="R5">
        <f>L5*J5/60</f>
        <v/>
      </c>
      <c r="S5">
        <f>Q5*F5+R5*(1-$B$13)</f>
        <v/>
      </c>
      <c r="T5">
        <f>Q5*(1-F5)+R5*$B$13</f>
        <v/>
      </c>
      <c r="U5">
        <f>(B5-L5+N5)*G5+O5*$B$14</f>
        <v/>
      </c>
      <c r="V5">
        <f>L5*K5</f>
        <v/>
      </c>
    </row>
    <row r="6">
      <c r="A6" t="inlineStr">
        <is>
          <t>ticket_b</t>
        </is>
      </c>
      <c r="B6" t="n">
        <v>120</v>
      </c>
      <c r="C6" t="n">
        <v>3</v>
      </c>
      <c r="D6" t="n">
        <v>0.1</v>
      </c>
      <c r="E6" t="n">
        <v>0.5</v>
      </c>
      <c r="F6" t="n">
        <v>0.3</v>
      </c>
      <c r="G6" t="n">
        <v>0.05</v>
      </c>
      <c r="H6" t="n">
        <v>0.5</v>
      </c>
      <c r="I6" t="n">
        <v>0.35</v>
      </c>
      <c r="J6" t="n">
        <v>5</v>
      </c>
      <c r="K6" t="n">
        <v>0.3</v>
      </c>
      <c r="L6">
        <f>B6*H6</f>
        <v/>
      </c>
      <c r="M6">
        <f>L6*I6</f>
        <v/>
      </c>
      <c r="N6">
        <f>M6*$B$12</f>
        <v/>
      </c>
      <c r="O6">
        <f>M6-N6</f>
        <v/>
      </c>
      <c r="P6">
        <f>1+D6*E6</f>
        <v/>
      </c>
      <c r="Q6">
        <f>B6*(1-H6)*C6*P6+N6*C6</f>
        <v/>
      </c>
      <c r="R6">
        <f>L6*J6/60</f>
        <v/>
      </c>
      <c r="S6">
        <f>Q6*F6+R6*(1-$B$13)</f>
        <v/>
      </c>
      <c r="T6">
        <f>Q6*(1-F6)+R6*$B$13</f>
        <v/>
      </c>
      <c r="U6">
        <f>(B6-L6+N6)*G6+O6*$B$14</f>
        <v/>
      </c>
      <c r="V6">
        <f>L6*K6</f>
        <v/>
      </c>
    </row>
    <row r="8">
      <c r="A8" t="inlineStr">
        <is>
          <t>totals</t>
        </is>
      </c>
      <c r="B8">
        <f>SUM(B5:B6)</f>
        <v/>
      </c>
      <c r="L8">
        <f>SUM(L5:L6)</f>
        <v/>
      </c>
      <c r="M8">
        <f>SUM(M5:M6)</f>
        <v/>
      </c>
      <c r="N8">
        <f>SUM(N5:N6)</f>
        <v/>
      </c>
      <c r="O8">
        <f>SUM(O5:O6)</f>
        <v/>
      </c>
      <c r="S8">
        <f>SUM(S5:S6)</f>
        <v/>
      </c>
      <c r="T8">
        <f>SUM(T5:T6)</f>
        <v/>
      </c>
      <c r="U8">
        <f>SUM(U5:U6)</f>
        <v/>
      </c>
      <c r="V8">
        <f>SUM(V5:V6)</f>
        <v/>
      </c>
    </row>
    <row r="11">
      <c r="D11" t="inlineStr">
        <is>
          <t>level</t>
        </is>
      </c>
      <c r="E11" t="inlineStr">
        <is>
          <t>paid h</t>
        </is>
      </c>
      <c r="F11" t="inlineStr">
        <is>
          <t>other share</t>
        </is>
      </c>
      <c r="G11" t="inlineStr">
        <is>
          <t>sd</t>
        </is>
      </c>
      <c r="H11" t="inlineStr">
        <is>
          <t>cost</t>
        </is>
      </c>
      <c r="I11" t="inlineStr">
        <is>
          <t>hours</t>
        </is>
      </c>
      <c r="J11" t="inlineStr">
        <is>
          <t>ticket h per FTE</t>
        </is>
      </c>
      <c r="K11" t="inlineStr">
        <is>
          <t>FTE needed</t>
        </is>
      </c>
      <c r="L11" t="inlineStr">
        <is>
          <t>FTE staffed</t>
        </is>
      </c>
      <c r="M11" t="inlineStr">
        <is>
          <t>staff $</t>
        </is>
      </c>
      <c r="N11" t="inlineStr">
        <is>
          <t>overtime $</t>
        </is>
      </c>
    </row>
    <row r="12">
      <c r="A12" t="inlineStr">
        <is>
          <t>catch</t>
        </is>
      </c>
      <c r="B12" t="n">
        <v>0.5</v>
      </c>
      <c r="D12" t="inlineStr">
        <is>
          <t>junior</t>
        </is>
      </c>
      <c r="E12" t="n">
        <v>160</v>
      </c>
      <c r="F12" t="n">
        <v>0.3</v>
      </c>
      <c r="G12" t="n">
        <v>0.02</v>
      </c>
      <c r="H12" t="n">
        <v>3200</v>
      </c>
      <c r="I12">
        <f>S8</f>
        <v/>
      </c>
      <c r="J12">
        <f>E12*(1-F12)</f>
        <v/>
      </c>
      <c r="K12">
        <f>I12/J12</f>
        <v/>
      </c>
      <c r="L12">
        <f>MAX(0,CEILING(K12*2,1)/2)</f>
        <v/>
      </c>
      <c r="M12">
        <f>L12*H12</f>
        <v/>
      </c>
      <c r="N12">
        <f>(0.0111*MAX(0,I12+(F12+(-3)*G12)*E12*L12-E12*L12)+0.0757*MAX(0,I12+(F12+(-2)*G12)*E12*L12-E12*L12)+0.2438*MAX(0,I12+(F12+(-1)*G12)*E12*L12-E12*L12)+0.3388*MAX(0,I12+(F12+(0)*G12)*E12*L12-E12*L12)+0.2438*MAX(0,I12+(F12+(1)*G12)*E12*L12-E12*L12)+0.0757*MAX(0,I12+(F12+(2)*G12)*E12*L12-E12*L12)+0.0111*MAX(0,I12+(F12+(3)*G12)*E12*L12-E12*L12))*H12/E12*$B$20</f>
        <v/>
      </c>
    </row>
    <row r="13">
      <c r="A13" t="inlineStr">
        <is>
          <t>srs</t>
        </is>
      </c>
      <c r="B13" t="n">
        <v>0.4</v>
      </c>
      <c r="D13" t="inlineStr">
        <is>
          <t>senior</t>
        </is>
      </c>
      <c r="E13" t="n">
        <v>160</v>
      </c>
      <c r="F13" t="n">
        <v>0.3</v>
      </c>
      <c r="G13" t="n">
        <v>0.02</v>
      </c>
      <c r="H13" t="n">
        <v>5200</v>
      </c>
      <c r="I13">
        <f>T8</f>
        <v/>
      </c>
      <c r="J13">
        <f>E13*(1-F13)</f>
        <v/>
      </c>
      <c r="K13">
        <f>I13/J13</f>
        <v/>
      </c>
      <c r="L13">
        <f>MAX(IF($L$8&gt;0,1,0),CEILING(K13*2,1)/2)</f>
        <v/>
      </c>
      <c r="M13">
        <f>L13*H13</f>
        <v/>
      </c>
      <c r="N13">
        <f>(0.0111*MAX(0,I13+(F13+(-3)*G13)*E13*L13-E13*L13)+0.0757*MAX(0,I13+(F13+(-2)*G13)*E13*L13-E13*L13)+0.2438*MAX(0,I13+(F13+(-1)*G13)*E13*L13-E13*L13)+0.3388*MAX(0,I13+(F13+(0)*G13)*E13*L13-E13*L13)+0.2438*MAX(0,I13+(F13+(1)*G13)*E13*L13-E13*L13)+0.0757*MAX(0,I13+(F13+(2)*G13)*E13*L13-E13*L13)+0.0111*MAX(0,I13+(F13+(3)*G13)*E13*L13-E13*L13))*H13/E13*$B$20</f>
        <v/>
      </c>
    </row>
    <row r="14">
      <c r="A14" t="inlineStr">
        <is>
          <t>esc_breach</t>
        </is>
      </c>
      <c r="B14" t="n">
        <v>0.9</v>
      </c>
    </row>
    <row r="15">
      <c r="A15" t="inlineStr">
        <is>
          <t>esc_cost</t>
        </is>
      </c>
      <c r="B15" t="n">
        <v>1500</v>
      </c>
    </row>
    <row r="16">
      <c r="A16" t="inlineStr">
        <is>
          <t>discount</t>
        </is>
      </c>
      <c r="B16" t="n">
        <v>0.2</v>
      </c>
    </row>
    <row r="17">
      <c r="A17" t="inlineStr">
        <is>
          <t>fee</t>
        </is>
      </c>
      <c r="B17" t="n">
        <v>40000</v>
      </c>
    </row>
    <row r="18">
      <c r="A18" t="inlineStr">
        <is>
          <t>overhead</t>
        </is>
      </c>
      <c r="B18" t="n">
        <v>1000</v>
      </c>
    </row>
    <row r="19">
      <c r="A19" t="inlineStr">
        <is>
          <t>other</t>
        </is>
      </c>
      <c r="B19" t="n">
        <v>0</v>
      </c>
    </row>
    <row r="20">
      <c r="A20" t="inlineStr">
        <is>
          <t>otm</t>
        </is>
      </c>
      <c r="B20" t="n">
        <v>1.5</v>
      </c>
    </row>
    <row r="21">
      <c r="A21" t="inlineStr">
        <is>
          <t>slasd</t>
        </is>
      </c>
      <c r="B21" t="n">
        <v>0.006</v>
      </c>
    </row>
    <row r="22">
      <c r="A22" t="inlineStr">
        <is>
          <t>guard</t>
        </is>
      </c>
      <c r="B22" t="n">
        <v>0.15</v>
      </c>
    </row>
    <row r="23">
      <c r="A23" t="inlineStr">
        <is>
          <t>platform</t>
        </is>
      </c>
      <c r="B23" t="n">
        <v>600</v>
      </c>
    </row>
    <row r="24">
      <c r="A24" t="inlineStr">
        <is>
          <t>evals</t>
        </is>
      </c>
      <c r="B24" t="n">
        <v>400</v>
      </c>
    </row>
    <row r="27">
      <c r="A27" t="inlineStr">
        <is>
          <t>fee</t>
        </is>
      </c>
      <c r="B27">
        <f>$B$17*IF($L$8&gt;0,1-$B$16,1)</f>
        <v/>
      </c>
    </row>
    <row r="28">
      <c r="A28" t="inlineStr">
        <is>
          <t>breach rate</t>
        </is>
      </c>
      <c r="B28">
        <f>U8/B8</f>
        <v/>
      </c>
    </row>
    <row r="29">
      <c r="A29" t="inlineStr">
        <is>
          <t>P(below 95%)</t>
        </is>
      </c>
      <c r="B29">
        <f>1-NORMDIST(((1-0.95)-B28)/$B$21,0,1,1)</f>
        <v/>
      </c>
    </row>
    <row r="30">
      <c r="A30" t="inlineStr">
        <is>
          <t>P(below 90%)</t>
        </is>
      </c>
      <c r="B30">
        <f>1-NORMDIST(((1-0.9)-B28)/$B$21,0,1,1)</f>
        <v/>
      </c>
    </row>
    <row r="31">
      <c r="A31" t="inlineStr">
        <is>
          <t>credits</t>
        </is>
      </c>
      <c r="B31">
        <f>B27*0.05*(B29-B30)+B27*0.1*B30</f>
        <v/>
      </c>
    </row>
    <row r="32">
      <c r="A32" t="inlineStr">
        <is>
          <t>revenue</t>
        </is>
      </c>
      <c r="B32">
        <f>B27-B31</f>
        <v/>
      </c>
    </row>
    <row r="33">
      <c r="A33" t="inlineStr">
        <is>
          <t>staff</t>
        </is>
      </c>
      <c r="B33">
        <f>M12+M13</f>
        <v/>
      </c>
    </row>
    <row r="34">
      <c r="A34" t="inlineStr">
        <is>
          <t>overtime</t>
        </is>
      </c>
      <c r="B34">
        <f>N12+N13</f>
        <v/>
      </c>
    </row>
    <row r="35">
      <c r="A35" t="inlineStr">
        <is>
          <t>AI cost</t>
        </is>
      </c>
      <c r="B35">
        <f>IF(L8&gt;0,V8*(1+$B$22)+$B$23+$B$24,0)</f>
        <v/>
      </c>
    </row>
    <row r="36">
      <c r="A36" t="inlineStr">
        <is>
          <t>escaped error cost</t>
        </is>
      </c>
      <c r="B36">
        <f>O8*$B$15</f>
        <v/>
      </c>
    </row>
    <row r="37">
      <c r="A37" t="inlineStr">
        <is>
          <t>total cost</t>
        </is>
      </c>
      <c r="B37">
        <f>B33+B34+$B$18+$B$19+B35+B36</f>
        <v/>
      </c>
    </row>
    <row r="38">
      <c r="A38" t="inlineStr">
        <is>
          <t>PROFIT</t>
        </is>
      </c>
      <c r="B38">
        <f>B32-B37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2026-10-20T05:28:43Z</dcterms:created>
  <dcterms:modified xmlns:dcterms="http://purl.org/dc/terms/" xmlns:xsi="http://www.w3.org/2001/XMLSchema-instance" xsi:type="dcterms:W3CDTF">2026-10-20T05:28:43Z</dcterms:modified>
</cp:coreProperties>
</file>